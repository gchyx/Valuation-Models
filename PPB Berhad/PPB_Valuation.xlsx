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ladys/Documents/projects/Equity Research/PPB Berhad/"/>
    </mc:Choice>
  </mc:AlternateContent>
  <xr:revisionPtr revIDLastSave="0" documentId="13_ncr:1_{44E0D046-6F14-0E40-A2A5-7437058E7328}" xr6:coauthVersionLast="47" xr6:coauthVersionMax="47" xr10:uidLastSave="{00000000-0000-0000-0000-000000000000}"/>
  <bookViews>
    <workbookView xWindow="460" yWindow="500" windowWidth="28340" windowHeight="17500" activeTab="3" xr2:uid="{3BD6E388-5499-BD48-B9C7-9B93AC52577E}"/>
  </bookViews>
  <sheets>
    <sheet name="dcf" sheetId="1" r:id="rId1"/>
    <sheet name="wacc" sheetId="2" r:id="rId2"/>
    <sheet name="sensitivity" sheetId="3" r:id="rId3"/>
    <sheet name="repor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D2" i="3"/>
  <c r="E2" i="3" s="1"/>
  <c r="C2" i="3"/>
  <c r="A5" i="3"/>
  <c r="A6" i="3" s="1"/>
  <c r="A7" i="3" s="1"/>
  <c r="A4" i="3"/>
  <c r="E4" i="2" l="1"/>
  <c r="B14" i="1" l="1"/>
  <c r="C14" i="1" s="1"/>
  <c r="H2" i="2"/>
  <c r="B7" i="2"/>
  <c r="H4" i="2"/>
  <c r="I3" i="2" s="1"/>
  <c r="B4" i="2"/>
  <c r="E5" i="2"/>
  <c r="D7" i="1"/>
  <c r="E7" i="1"/>
  <c r="F7" i="1"/>
  <c r="G7" i="1"/>
  <c r="H7" i="1"/>
  <c r="I7" i="1"/>
  <c r="J7" i="1"/>
  <c r="K7" i="1"/>
  <c r="C7" i="1"/>
  <c r="C13" i="1"/>
  <c r="D13" i="1" s="1"/>
  <c r="E13" i="1" s="1"/>
  <c r="F13" i="1" s="1"/>
  <c r="G13" i="1" s="1"/>
  <c r="H13" i="1" s="1"/>
  <c r="I13" i="1" s="1"/>
  <c r="J13" i="1" s="1"/>
  <c r="C5" i="1"/>
  <c r="D5" i="1" s="1"/>
  <c r="E5" i="1" s="1"/>
  <c r="F5" i="1" s="1"/>
  <c r="G5" i="1" s="1"/>
  <c r="H5" i="1" s="1"/>
  <c r="I5" i="1" s="1"/>
  <c r="J5" i="1" s="1"/>
  <c r="K5" i="1" s="1"/>
  <c r="K10" i="1" l="1"/>
  <c r="D14" i="1"/>
  <c r="I2" i="2"/>
  <c r="E8" i="2" s="1"/>
  <c r="B8" i="2"/>
  <c r="B20" i="1" l="1"/>
  <c r="E14" i="1"/>
  <c r="B15" i="1" l="1"/>
  <c r="C15" i="1"/>
  <c r="D15" i="1"/>
  <c r="F14" i="1"/>
  <c r="E15" i="1"/>
  <c r="G14" i="1" l="1"/>
  <c r="F15" i="1"/>
  <c r="H14" i="1" l="1"/>
  <c r="G15" i="1"/>
  <c r="I14" i="1" l="1"/>
  <c r="H15" i="1"/>
  <c r="J14" i="1" l="1"/>
  <c r="I15" i="1"/>
  <c r="J15" i="1" l="1"/>
  <c r="K14" i="1"/>
  <c r="K15" i="1" s="1"/>
  <c r="B22" i="1" l="1"/>
  <c r="B25" i="1" s="1"/>
  <c r="B27" i="1" s="1"/>
  <c r="B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GLADYS CHAN HAVEN</author>
  </authors>
  <commentList>
    <comment ref="L9" authorId="0" shapeId="0" xr:uid="{9D99236E-EAF4-BD4E-A3BA-BD30A300642F}">
      <text>
        <r>
          <rPr>
            <b/>
            <sz val="10"/>
            <color rgb="FF000000"/>
            <rFont val="Tahoma"/>
            <family val="2"/>
          </rPr>
          <t>GLADYS CHAN HAVEN: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1"/>
            <color rgb="FF000000"/>
            <rFont val="Aptos Narrow"/>
            <scheme val="minor"/>
          </rPr>
          <t>FCF growth rate of 2.47% reflects a discount to PPB's 4.3% revenue CAGR, accounting for:</t>
        </r>
        <r>
          <rPr>
            <sz val="11"/>
            <color rgb="FF000000"/>
            <rFont val="Aptos Narrow"/>
            <scheme val="minor"/>
          </rPr>
          <t xml:space="preserve"> </t>
        </r>
        <r>
          <rPr>
            <i/>
            <sz val="11"/>
            <color rgb="FF000000"/>
            <rFont val="Aptos Narrow"/>
            <scheme val="minor"/>
          </rPr>
          <t>1. Wilmar's associate income comprising ~75% of earnings, subject to external market dynamics</t>
        </r>
        <r>
          <rPr>
            <sz val="11"/>
            <color rgb="FF000000"/>
            <rFont val="Aptos Narrow"/>
            <scheme val="minor"/>
          </rPr>
          <t xml:space="preserve"> </t>
        </r>
        <r>
          <rPr>
            <i/>
            <sz val="11"/>
            <color rgb="FF000000"/>
            <rFont val="Aptos Narrow"/>
            <scheme val="minor"/>
          </rPr>
          <t>2. Structural headwinds in GSC cinema segment</t>
        </r>
        <r>
          <rPr>
            <sz val="11"/>
            <color rgb="FF000000"/>
            <rFont val="Aptos Narrow"/>
            <scheme val="minor"/>
          </rPr>
          <t xml:space="preserve"> </t>
        </r>
        <r>
          <rPr>
            <i/>
            <sz val="11"/>
            <color rgb="FF000000"/>
            <rFont val="Aptos Narrow"/>
            <scheme val="minor"/>
          </rPr>
          <t>3. Commodity-driven, low-growth nature of flour milling</t>
        </r>
        <r>
          <rPr>
            <sz val="11"/>
            <color rgb="FF000000"/>
            <rFont val="Aptos Narrow"/>
            <scheme val="minor"/>
          </rPr>
          <t xml:space="preserve"> </t>
        </r>
        <r>
          <rPr>
            <i/>
            <sz val="11"/>
            <color rgb="FF000000"/>
            <rFont val="Aptos Narrow"/>
            <scheme val="minor"/>
          </rPr>
          <t>4. Blended rate anchored to Malaysia consumer goods market CAGR (Edge, May 2025)</t>
        </r>
      </text>
    </comment>
  </commentList>
</comments>
</file>

<file path=xl/sharedStrings.xml><?xml version="1.0" encoding="utf-8"?>
<sst xmlns="http://schemas.openxmlformats.org/spreadsheetml/2006/main" count="45" uniqueCount="41">
  <si>
    <t>PPB Group Berhad (4065.KL)</t>
  </si>
  <si>
    <t>Stock:</t>
  </si>
  <si>
    <t>Year</t>
  </si>
  <si>
    <t>Free Cash Flow</t>
  </si>
  <si>
    <t>Growth</t>
  </si>
  <si>
    <t>Growth Rate</t>
  </si>
  <si>
    <t>Average Growth Rate</t>
  </si>
  <si>
    <t>Future Free Cash Flow</t>
  </si>
  <si>
    <t>PV of FFCF</t>
  </si>
  <si>
    <t>Terminal Value</t>
  </si>
  <si>
    <t>Sum of FCF</t>
  </si>
  <si>
    <t>Cash &amp; Cash Equivalents</t>
  </si>
  <si>
    <t>Total Debts</t>
  </si>
  <si>
    <t>Equity Value</t>
  </si>
  <si>
    <t>Shares Outstanding</t>
  </si>
  <si>
    <t>DCF Price per Share</t>
  </si>
  <si>
    <t>Current Price per Share</t>
  </si>
  <si>
    <t>Change</t>
  </si>
  <si>
    <t>Perpetual Growth Rate</t>
  </si>
  <si>
    <t>Discount Rate (WACC)</t>
  </si>
  <si>
    <t>Cost of Debt</t>
  </si>
  <si>
    <t>Cost of Equity</t>
  </si>
  <si>
    <t>Weight of Debt &amp; Equity</t>
  </si>
  <si>
    <r>
      <t xml:space="preserve">Interest Expense 
</t>
    </r>
    <r>
      <rPr>
        <sz val="8"/>
        <color theme="1"/>
        <rFont val="Aptos Narrow (Body)"/>
      </rPr>
      <t>(Interest Expense Non Operating)</t>
    </r>
  </si>
  <si>
    <r>
      <t xml:space="preserve">Risk Free Rate
</t>
    </r>
    <r>
      <rPr>
        <u/>
        <sz val="8"/>
        <color theme="10"/>
        <rFont val="Aptos Narrow (Body)"/>
      </rPr>
      <t>(Malaysian Governement Securities)</t>
    </r>
  </si>
  <si>
    <t>Total Debt</t>
  </si>
  <si>
    <t>Beta</t>
  </si>
  <si>
    <t>Market Cap</t>
  </si>
  <si>
    <t>Market Return</t>
  </si>
  <si>
    <t>Total</t>
  </si>
  <si>
    <r>
      <t xml:space="preserve">Income Tax Expense 
</t>
    </r>
    <r>
      <rPr>
        <sz val="8"/>
        <color theme="1"/>
        <rFont val="Aptos Narrow (Body)"/>
      </rPr>
      <t>(Tax Provision)</t>
    </r>
  </si>
  <si>
    <r>
      <t xml:space="preserve">Income before Tax 
</t>
    </r>
    <r>
      <rPr>
        <sz val="8"/>
        <color theme="1"/>
        <rFont val="Aptos Narrow (Body)"/>
      </rPr>
      <t>(Pretax Income)</t>
    </r>
  </si>
  <si>
    <t>Effective Tax Rate</t>
  </si>
  <si>
    <t>Cost of Debt after Tax</t>
  </si>
  <si>
    <t>WACC:</t>
  </si>
  <si>
    <t>ERP + RFR</t>
  </si>
  <si>
    <t>Reference</t>
  </si>
  <si>
    <t>&lt;- IMF/BNM forecast long run inflation target (blended estimate)</t>
  </si>
  <si>
    <t>Sensitivity Table</t>
  </si>
  <si>
    <t>WACC</t>
  </si>
  <si>
    <t>PGR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</si>
</sst>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M-4409]#,##0.00;[Red][$RM-4409]#,##0.00"/>
    <numFmt numFmtId="165" formatCode="[$RM-4409]#,##0.00"/>
    <numFmt numFmtId="166" formatCode="[$RM-4409]#,##0.00;[Red]\-[$RM-4409]#,##0.00"/>
    <numFmt numFmtId="167" formatCode="[$RM-4409]#,##0;[Red]\-[$RM-4409]#,##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2"/>
      <color theme="1"/>
      <name val="Aptos Display"/>
    </font>
    <font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color theme="1"/>
      <name val="Aptos Narrow (Body)"/>
    </font>
    <font>
      <u/>
      <sz val="8"/>
      <color theme="10"/>
      <name val="Aptos Narrow (Body)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i/>
      <sz val="11"/>
      <color theme="3" tint="0.499984740745262"/>
      <name val="Aptos Narrow"/>
      <scheme val="minor"/>
    </font>
    <font>
      <b/>
      <i/>
      <sz val="11"/>
      <color theme="4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65B4FF"/>
        <bgColor indexed="64"/>
      </patternFill>
    </fill>
    <fill>
      <patternFill patternType="solid">
        <fgColor rgb="FF5397D7"/>
        <bgColor indexed="64"/>
      </patternFill>
    </fill>
    <fill>
      <patternFill patternType="solid">
        <fgColor rgb="FFFFE88A"/>
        <bgColor indexed="64"/>
      </patternFill>
    </fill>
    <fill>
      <patternFill patternType="solid">
        <fgColor rgb="FFACD4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4DD66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A6C9EC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5" fillId="8" borderId="1" xfId="0" applyFont="1" applyFill="1" applyBorder="1"/>
    <xf numFmtId="164" fontId="6" fillId="0" borderId="1" xfId="0" applyNumberFormat="1" applyFont="1" applyBorder="1"/>
    <xf numFmtId="164" fontId="0" fillId="0" borderId="1" xfId="0" applyNumberFormat="1" applyBorder="1"/>
    <xf numFmtId="0" fontId="5" fillId="9" borderId="1" xfId="0" applyFont="1" applyFill="1" applyBorder="1"/>
    <xf numFmtId="165" fontId="7" fillId="10" borderId="1" xfId="0" applyNumberFormat="1" applyFont="1" applyFill="1" applyBorder="1" applyAlignment="1">
      <alignment vertical="center"/>
    </xf>
    <xf numFmtId="165" fontId="8" fillId="11" borderId="2" xfId="0" applyNumberFormat="1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10" fontId="7" fillId="1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167" fontId="9" fillId="0" borderId="1" xfId="0" applyNumberFormat="1" applyFont="1" applyBorder="1" applyAlignment="1">
      <alignment vertical="center"/>
    </xf>
    <xf numFmtId="167" fontId="9" fillId="0" borderId="1" xfId="0" applyNumberFormat="1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0" fontId="10" fillId="0" borderId="1" xfId="0" applyNumberFormat="1" applyFont="1" applyBorder="1" applyAlignment="1">
      <alignment vertical="center" wrapText="1"/>
    </xf>
    <xf numFmtId="10" fontId="10" fillId="7" borderId="1" xfId="0" applyNumberFormat="1" applyFont="1" applyFill="1" applyBorder="1" applyAlignment="1">
      <alignment wrapText="1"/>
    </xf>
    <xf numFmtId="10" fontId="0" fillId="6" borderId="1" xfId="0" applyNumberForma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10" fontId="0" fillId="0" borderId="1" xfId="0" applyNumberFormat="1" applyBorder="1" applyAlignment="1">
      <alignment wrapText="1"/>
    </xf>
    <xf numFmtId="0" fontId="5" fillId="1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0" fillId="0" borderId="2" xfId="0" applyBorder="1" applyAlignment="1">
      <alignment horizontal="left" vertical="center" wrapText="1"/>
    </xf>
    <xf numFmtId="3" fontId="0" fillId="0" borderId="7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8" xfId="2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wrapText="1"/>
    </xf>
    <xf numFmtId="4" fontId="0" fillId="0" borderId="0" xfId="0" applyNumberFormat="1" applyAlignment="1">
      <alignment wrapText="1"/>
    </xf>
    <xf numFmtId="10" fontId="0" fillId="0" borderId="7" xfId="1" applyNumberFormat="1" applyFont="1" applyBorder="1" applyAlignment="1">
      <alignment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10" fontId="14" fillId="0" borderId="7" xfId="0" applyNumberFormat="1" applyFont="1" applyBorder="1" applyAlignment="1">
      <alignment vertical="center" wrapText="1"/>
    </xf>
    <xf numFmtId="0" fontId="0" fillId="0" borderId="10" xfId="0" applyBorder="1" applyAlignment="1">
      <alignment wrapText="1"/>
    </xf>
    <xf numFmtId="4" fontId="0" fillId="0" borderId="11" xfId="0" applyNumberFormat="1" applyBorder="1" applyAlignment="1">
      <alignment wrapText="1"/>
    </xf>
    <xf numFmtId="4" fontId="0" fillId="0" borderId="12" xfId="0" applyNumberFormat="1" applyBorder="1" applyAlignment="1">
      <alignment wrapText="1"/>
    </xf>
    <xf numFmtId="0" fontId="0" fillId="0" borderId="10" xfId="0" applyBorder="1" applyAlignment="1">
      <alignment vertical="center" wrapText="1"/>
    </xf>
    <xf numFmtId="10" fontId="14" fillId="0" borderId="12" xfId="0" applyNumberFormat="1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2" fontId="15" fillId="0" borderId="7" xfId="0" applyNumberFormat="1" applyFont="1" applyBorder="1" applyAlignment="1">
      <alignment vertical="center" wrapText="1"/>
    </xf>
    <xf numFmtId="165" fontId="0" fillId="0" borderId="1" xfId="0" applyNumberFormat="1" applyBorder="1"/>
    <xf numFmtId="164" fontId="10" fillId="0" borderId="1" xfId="0" applyNumberFormat="1" applyFont="1" applyBorder="1"/>
    <xf numFmtId="0" fontId="16" fillId="0" borderId="1" xfId="0" applyFont="1" applyBorder="1"/>
    <xf numFmtId="10" fontId="10" fillId="0" borderId="7" xfId="0" applyNumberFormat="1" applyFont="1" applyBorder="1" applyAlignment="1">
      <alignment vertical="center" wrapText="1"/>
    </xf>
    <xf numFmtId="0" fontId="11" fillId="0" borderId="0" xfId="2" applyAlignment="1">
      <alignment wrapText="1"/>
    </xf>
    <xf numFmtId="0" fontId="11" fillId="0" borderId="0" xfId="2"/>
    <xf numFmtId="0" fontId="5" fillId="9" borderId="4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 wrapText="1"/>
    </xf>
    <xf numFmtId="0" fontId="22" fillId="0" borderId="0" xfId="0" applyFont="1"/>
    <xf numFmtId="0" fontId="23" fillId="0" borderId="0" xfId="0" applyFont="1"/>
    <xf numFmtId="0" fontId="23" fillId="14" borderId="3" xfId="0" applyFont="1" applyFill="1" applyBorder="1" applyAlignment="1">
      <alignment horizontal="center" vertical="center" wrapText="1"/>
    </xf>
    <xf numFmtId="10" fontId="23" fillId="15" borderId="12" xfId="0" applyNumberFormat="1" applyFont="1" applyFill="1" applyBorder="1" applyAlignment="1">
      <alignment horizontal="center" vertical="center" wrapText="1"/>
    </xf>
    <xf numFmtId="2" fontId="22" fillId="0" borderId="12" xfId="0" applyNumberFormat="1" applyFont="1" applyBorder="1" applyAlignment="1">
      <alignment vertical="center" wrapText="1"/>
    </xf>
    <xf numFmtId="2" fontId="22" fillId="0" borderId="11" xfId="0" applyNumberFormat="1" applyFont="1" applyBorder="1" applyAlignment="1">
      <alignment vertical="center" wrapText="1"/>
    </xf>
    <xf numFmtId="2" fontId="22" fillId="0" borderId="3" xfId="0" applyNumberFormat="1" applyFont="1" applyBorder="1" applyAlignment="1">
      <alignment vertical="center" wrapText="1"/>
    </xf>
    <xf numFmtId="2" fontId="22" fillId="0" borderId="5" xfId="0" applyNumberFormat="1" applyFont="1" applyBorder="1" applyAlignment="1">
      <alignment vertical="center" wrapText="1"/>
    </xf>
    <xf numFmtId="0" fontId="23" fillId="0" borderId="0" xfId="0" applyFont="1" applyAlignment="1">
      <alignment horizontal="right"/>
    </xf>
    <xf numFmtId="0" fontId="21" fillId="0" borderId="11" xfId="0" applyFont="1" applyBorder="1" applyAlignment="1">
      <alignment horizontal="center"/>
    </xf>
    <xf numFmtId="0" fontId="22" fillId="0" borderId="0" xfId="0" applyFont="1" applyFill="1" applyBorder="1"/>
    <xf numFmtId="0" fontId="23" fillId="0" borderId="0" xfId="0" applyFont="1" applyFill="1" applyBorder="1" applyAlignment="1">
      <alignment horizontal="center" vertical="center" wrapText="1"/>
    </xf>
    <xf numFmtId="10" fontId="23" fillId="0" borderId="0" xfId="0" applyNumberFormat="1" applyFont="1" applyFill="1" applyBorder="1" applyAlignment="1">
      <alignment horizontal="center" vertical="center" wrapText="1"/>
    </xf>
    <xf numFmtId="0" fontId="23" fillId="0" borderId="0" xfId="0" applyFont="1" applyFill="1" applyBorder="1"/>
    <xf numFmtId="10" fontId="22" fillId="0" borderId="0" xfId="0" applyNumberFormat="1" applyFont="1" applyFill="1" applyBorder="1" applyAlignment="1">
      <alignment vertical="center" wrapText="1"/>
    </xf>
    <xf numFmtId="2" fontId="22" fillId="0" borderId="0" xfId="0" applyNumberFormat="1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right"/>
    </xf>
    <xf numFmtId="0" fontId="21" fillId="0" borderId="0" xfId="0" applyFont="1" applyFill="1" applyBorder="1" applyAlignment="1">
      <alignment horizontal="center"/>
    </xf>
    <xf numFmtId="10" fontId="24" fillId="16" borderId="3" xfId="0" applyNumberFormat="1" applyFont="1" applyFill="1" applyBorder="1" applyAlignment="1">
      <alignment vertical="center" wrapText="1"/>
    </xf>
    <xf numFmtId="2" fontId="25" fillId="12" borderId="12" xfId="0" applyNumberFormat="1" applyFont="1" applyFill="1" applyBorder="1" applyAlignment="1">
      <alignment vertical="center" wrapText="1"/>
    </xf>
    <xf numFmtId="10" fontId="26" fillId="0" borderId="1" xfId="0" applyNumberFormat="1" applyFont="1" applyBorder="1"/>
  </cellXfs>
  <cellStyles count="3">
    <cellStyle name="Hyperlink" xfId="2" builtinId="8"/>
    <cellStyle name="Normal" xfId="0" builtinId="0" customBuiltin="1"/>
    <cellStyle name="Percent" xfId="1" builtinId="5"/>
  </cellStyles>
  <dxfs count="0"/>
  <tableStyles count="0" defaultTableStyle="TableStyleMedium2" defaultPivotStyle="PivotStyleLight16"/>
  <colors>
    <mruColors>
      <color rgb="FFACD4F1"/>
      <color rgb="FF5FD0FE"/>
      <color rgb="FF88D4FD"/>
      <color rgb="FF65B4FF"/>
      <color rgb="FFFFE88A"/>
      <color rgb="FF5397D7"/>
      <color rgb="FF3C6C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338117</xdr:colOff>
      <xdr:row>0</xdr:row>
      <xdr:rowOff>0</xdr:rowOff>
    </xdr:from>
    <xdr:to>
      <xdr:col>13</xdr:col>
      <xdr:colOff>343174</xdr:colOff>
      <xdr:row>92</xdr:row>
      <xdr:rowOff>42470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8F005-D558-1136-70BC-C225F81F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17" y="0"/>
          <a:ext cx="10725836" cy="1901000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theedgemalaysia.com/node/75490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stern.nyu.edu/~adamodar/New_Home_Page/datafile/ctryprem.html" TargetMode="External"/><Relationship Id="rId2" Type="http://schemas.openxmlformats.org/officeDocument/2006/relationships/hyperlink" Target="https://financialmarkets.bnm.gov.my/benchmark-yields?utm_source=chatgpt.com" TargetMode="External"/><Relationship Id="rId1" Type="http://schemas.openxmlformats.org/officeDocument/2006/relationships/hyperlink" Target="https://www.focus-economics.com/country-indicator/malaysia/stock-market/?utm_source=chatgp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58B2-B2DE-DC46-B9E6-41685A091221}">
  <dimension ref="A1:L29"/>
  <sheetViews>
    <sheetView zoomScale="88" workbookViewId="0">
      <selection activeCell="E24" sqref="E24"/>
    </sheetView>
  </sheetViews>
  <sheetFormatPr baseColWidth="10" defaultRowHeight="16" x14ac:dyDescent="0.2"/>
  <cols>
    <col min="1" max="1" width="22" customWidth="1"/>
    <col min="2" max="2" width="21.5" bestFit="1" customWidth="1"/>
    <col min="3" max="10" width="17.83203125" bestFit="1" customWidth="1"/>
    <col min="11" max="11" width="20.6640625" bestFit="1" customWidth="1"/>
  </cols>
  <sheetData>
    <row r="1" spans="1:12" x14ac:dyDescent="0.2">
      <c r="A1" s="2" t="s">
        <v>1</v>
      </c>
    </row>
    <row r="2" spans="1:12" ht="40" x14ac:dyDescent="0.2">
      <c r="A2" s="1" t="s">
        <v>0</v>
      </c>
    </row>
    <row r="5" spans="1:12" x14ac:dyDescent="0.2">
      <c r="A5" s="3" t="s">
        <v>2</v>
      </c>
      <c r="B5" s="4">
        <v>2016</v>
      </c>
      <c r="C5" s="4">
        <f>B5+1</f>
        <v>2017</v>
      </c>
      <c r="D5" s="4">
        <f t="shared" ref="D5:K5" si="0">C5+1</f>
        <v>2018</v>
      </c>
      <c r="E5" s="4">
        <f t="shared" si="0"/>
        <v>2019</v>
      </c>
      <c r="F5" s="4">
        <f t="shared" si="0"/>
        <v>2020</v>
      </c>
      <c r="G5" s="4">
        <f t="shared" si="0"/>
        <v>2021</v>
      </c>
      <c r="H5" s="4">
        <f t="shared" si="0"/>
        <v>2022</v>
      </c>
      <c r="I5" s="4">
        <f t="shared" si="0"/>
        <v>2023</v>
      </c>
      <c r="J5" s="4">
        <f t="shared" si="0"/>
        <v>2024</v>
      </c>
      <c r="K5" s="4">
        <f t="shared" si="0"/>
        <v>2025</v>
      </c>
    </row>
    <row r="6" spans="1:12" x14ac:dyDescent="0.2">
      <c r="A6" s="3" t="s">
        <v>3</v>
      </c>
      <c r="B6" s="19">
        <v>182880000</v>
      </c>
      <c r="C6" s="19">
        <v>-133480000</v>
      </c>
      <c r="D6" s="19">
        <v>328920000</v>
      </c>
      <c r="E6" s="19">
        <v>298940000</v>
      </c>
      <c r="F6" s="20">
        <v>-123310000</v>
      </c>
      <c r="G6" s="20">
        <v>-681850000</v>
      </c>
      <c r="H6" s="20">
        <v>-8110000</v>
      </c>
      <c r="I6" s="19">
        <v>571320000</v>
      </c>
      <c r="J6" s="19">
        <v>42880000</v>
      </c>
      <c r="K6" s="19">
        <v>625320000</v>
      </c>
    </row>
    <row r="7" spans="1:12" x14ac:dyDescent="0.2">
      <c r="A7" s="3" t="s">
        <v>4</v>
      </c>
      <c r="B7" s="21"/>
      <c r="C7" s="23">
        <f>(C6-B6)/ABS(C6)</f>
        <v>-2.3700928978124063</v>
      </c>
      <c r="D7" s="23">
        <f t="shared" ref="D7:K7" si="1">(D6-C6)/ABS(D6)</f>
        <v>1.4058129636385748</v>
      </c>
      <c r="E7" s="23">
        <f t="shared" si="1"/>
        <v>-0.10028768314711982</v>
      </c>
      <c r="F7" s="23">
        <f t="shared" si="1"/>
        <v>-3.4242964885248561</v>
      </c>
      <c r="G7" s="23">
        <f t="shared" si="1"/>
        <v>-0.81915377282393487</v>
      </c>
      <c r="H7" s="23">
        <f t="shared" si="1"/>
        <v>83.075215782983975</v>
      </c>
      <c r="I7" s="23">
        <f t="shared" si="1"/>
        <v>1.0141951970874465</v>
      </c>
      <c r="J7" s="23">
        <f t="shared" si="1"/>
        <v>-12.323694029850746</v>
      </c>
      <c r="K7" s="23">
        <f t="shared" si="1"/>
        <v>0.93142710932002815</v>
      </c>
    </row>
    <row r="9" spans="1:12" x14ac:dyDescent="0.2">
      <c r="J9" s="6" t="s">
        <v>5</v>
      </c>
      <c r="K9" s="25">
        <v>2.47E-2</v>
      </c>
      <c r="L9" s="54" t="s">
        <v>36</v>
      </c>
    </row>
    <row r="10" spans="1:12" ht="34" x14ac:dyDescent="0.2">
      <c r="J10" s="8" t="s">
        <v>6</v>
      </c>
      <c r="K10" s="24">
        <f>AVERAGE(C7:K7)</f>
        <v>7.48768068676344</v>
      </c>
    </row>
    <row r="12" spans="1:12" x14ac:dyDescent="0.2">
      <c r="A12" s="5"/>
      <c r="B12" s="7">
        <v>1</v>
      </c>
      <c r="C12" s="7">
        <v>2</v>
      </c>
      <c r="D12" s="7">
        <v>3</v>
      </c>
      <c r="E12" s="7">
        <v>4</v>
      </c>
      <c r="F12" s="7">
        <v>5</v>
      </c>
      <c r="G12" s="7">
        <v>6</v>
      </c>
      <c r="H12" s="7">
        <v>7</v>
      </c>
      <c r="I12" s="7">
        <v>8</v>
      </c>
      <c r="J12" s="7">
        <v>9</v>
      </c>
      <c r="K12" s="7">
        <v>10</v>
      </c>
    </row>
    <row r="13" spans="1:12" x14ac:dyDescent="0.2">
      <c r="A13" s="3" t="s">
        <v>2</v>
      </c>
      <c r="B13" s="4">
        <v>2026</v>
      </c>
      <c r="C13" s="4">
        <f>B13+1</f>
        <v>2027</v>
      </c>
      <c r="D13" s="4">
        <f t="shared" ref="D13:J13" si="2">C13+1</f>
        <v>2028</v>
      </c>
      <c r="E13" s="4">
        <f t="shared" si="2"/>
        <v>2029</v>
      </c>
      <c r="F13" s="4">
        <f t="shared" si="2"/>
        <v>2030</v>
      </c>
      <c r="G13" s="4">
        <f t="shared" si="2"/>
        <v>2031</v>
      </c>
      <c r="H13" s="4">
        <f t="shared" si="2"/>
        <v>2032</v>
      </c>
      <c r="I13" s="4">
        <f t="shared" si="2"/>
        <v>2033</v>
      </c>
      <c r="J13" s="4">
        <f t="shared" si="2"/>
        <v>2034</v>
      </c>
      <c r="K13" s="4" t="s">
        <v>9</v>
      </c>
    </row>
    <row r="14" spans="1:12" x14ac:dyDescent="0.2">
      <c r="A14" s="3" t="s">
        <v>7</v>
      </c>
      <c r="B14" s="22">
        <f>K6*(1+K9)</f>
        <v>640765404</v>
      </c>
      <c r="C14" s="22">
        <f>B14*(1+$K$9)</f>
        <v>656592309.47879994</v>
      </c>
      <c r="D14" s="22">
        <f t="shared" ref="D14:J14" si="3">C14*(1+$K$9)</f>
        <v>672810139.52292621</v>
      </c>
      <c r="E14" s="22">
        <f t="shared" si="3"/>
        <v>689428549.96914244</v>
      </c>
      <c r="F14" s="22">
        <f t="shared" si="3"/>
        <v>706457435.15338027</v>
      </c>
      <c r="G14" s="22">
        <f t="shared" si="3"/>
        <v>723906933.80166876</v>
      </c>
      <c r="H14" s="22">
        <f t="shared" si="3"/>
        <v>741787435.06656992</v>
      </c>
      <c r="I14" s="22">
        <f t="shared" si="3"/>
        <v>760109584.7127142</v>
      </c>
      <c r="J14" s="22">
        <f t="shared" si="3"/>
        <v>778884291.45511818</v>
      </c>
      <c r="K14" s="22">
        <f>J14*(1+B19)/(B20-B19)</f>
        <v>20118390623.77169</v>
      </c>
    </row>
    <row r="15" spans="1:12" x14ac:dyDescent="0.2">
      <c r="A15" s="3" t="s">
        <v>8</v>
      </c>
      <c r="B15" s="22">
        <f>B14/(1+$B$20)^B12</f>
        <v>596021993.56013632</v>
      </c>
      <c r="C15" s="22">
        <f t="shared" ref="C15:K15" si="4">C14/(1+$B$20)^C12</f>
        <v>568096681.39096642</v>
      </c>
      <c r="D15" s="22">
        <f t="shared" si="4"/>
        <v>541479748.8926332</v>
      </c>
      <c r="E15" s="22">
        <f t="shared" si="4"/>
        <v>516109894.78575641</v>
      </c>
      <c r="F15" s="22">
        <f t="shared" si="4"/>
        <v>491928689.92886639</v>
      </c>
      <c r="G15" s="22">
        <f t="shared" si="4"/>
        <v>468880442.75063825</v>
      </c>
      <c r="H15" s="22">
        <f t="shared" si="4"/>
        <v>446912070.98700631</v>
      </c>
      <c r="I15" s="22">
        <f t="shared" si="4"/>
        <v>425972979.42775637</v>
      </c>
      <c r="J15" s="22">
        <f t="shared" si="4"/>
        <v>406014943.39103538</v>
      </c>
      <c r="K15" s="22">
        <f t="shared" si="4"/>
        <v>9754961048.9745979</v>
      </c>
    </row>
    <row r="19" spans="1:3" x14ac:dyDescent="0.2">
      <c r="A19" s="26" t="s">
        <v>18</v>
      </c>
      <c r="B19" s="27">
        <v>3.5000000000000003E-2</v>
      </c>
      <c r="C19" t="s">
        <v>37</v>
      </c>
    </row>
    <row r="20" spans="1:3" x14ac:dyDescent="0.2">
      <c r="A20" s="28" t="s">
        <v>19</v>
      </c>
      <c r="B20" s="78">
        <f>wacc!E8</f>
        <v>7.5070066076931327E-2</v>
      </c>
    </row>
    <row r="22" spans="1:3" x14ac:dyDescent="0.2">
      <c r="A22" s="9" t="s">
        <v>10</v>
      </c>
      <c r="B22" s="10">
        <f>SUM(B15:K15)</f>
        <v>14216378494.089394</v>
      </c>
    </row>
    <row r="23" spans="1:3" x14ac:dyDescent="0.2">
      <c r="A23" s="9" t="s">
        <v>11</v>
      </c>
      <c r="B23" s="11">
        <v>2038260000</v>
      </c>
    </row>
    <row r="24" spans="1:3" x14ac:dyDescent="0.2">
      <c r="A24" s="9" t="s">
        <v>12</v>
      </c>
      <c r="B24" s="49">
        <v>576750000</v>
      </c>
    </row>
    <row r="25" spans="1:3" x14ac:dyDescent="0.2">
      <c r="A25" s="12" t="s">
        <v>13</v>
      </c>
      <c r="B25" s="50">
        <f>B22+B23-B24</f>
        <v>15677888494.089394</v>
      </c>
    </row>
    <row r="26" spans="1:3" x14ac:dyDescent="0.2">
      <c r="A26" s="12" t="s">
        <v>14</v>
      </c>
      <c r="B26" s="51">
        <v>1420000000</v>
      </c>
    </row>
    <row r="27" spans="1:3" ht="20" x14ac:dyDescent="0.25">
      <c r="A27" s="17" t="s">
        <v>15</v>
      </c>
      <c r="B27" s="13">
        <f>B25/B26</f>
        <v>11.040766545133376</v>
      </c>
    </row>
    <row r="28" spans="1:3" ht="40" x14ac:dyDescent="0.25">
      <c r="A28" s="18" t="s">
        <v>16</v>
      </c>
      <c r="B28" s="14">
        <v>11.34</v>
      </c>
    </row>
    <row r="29" spans="1:3" ht="19" x14ac:dyDescent="0.2">
      <c r="A29" s="15" t="s">
        <v>17</v>
      </c>
      <c r="B29" s="16">
        <f>(B27-B28)/B27</f>
        <v>-2.7102597780995715E-2</v>
      </c>
    </row>
  </sheetData>
  <conditionalFormatting sqref="B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9" r:id="rId1" xr:uid="{8C1AEB2E-01E1-E04F-922A-E47C67BFA83E}"/>
  </hyperlinks>
  <pageMargins left="0.7" right="0.7" top="0.75" bottom="0.75" header="0.3" footer="0.3"/>
  <pageSetup paperSize="9" orientation="portrait" horizontalDpi="0" verticalDpi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9347-24CC-0A44-975E-9F3185BF1111}">
  <dimension ref="A1:I8"/>
  <sheetViews>
    <sheetView zoomScale="138" workbookViewId="0">
      <selection activeCell="F5" sqref="F5"/>
    </sheetView>
  </sheetViews>
  <sheetFormatPr baseColWidth="10" defaultRowHeight="16" x14ac:dyDescent="0.2"/>
  <cols>
    <col min="1" max="1" width="21" customWidth="1"/>
    <col min="2" max="2" width="15" customWidth="1"/>
    <col min="4" max="4" width="22.33203125" customWidth="1"/>
    <col min="5" max="5" width="8.1640625" bestFit="1" customWidth="1"/>
    <col min="7" max="7" width="12.83203125" customWidth="1"/>
    <col min="8" max="8" width="17.1640625" bestFit="1" customWidth="1"/>
    <col min="9" max="9" width="8.6640625" customWidth="1"/>
  </cols>
  <sheetData>
    <row r="1" spans="1:9" x14ac:dyDescent="0.2">
      <c r="A1" s="55" t="s">
        <v>20</v>
      </c>
      <c r="B1" s="56"/>
      <c r="C1" s="29"/>
      <c r="D1" s="55" t="s">
        <v>21</v>
      </c>
      <c r="E1" s="56"/>
      <c r="F1" s="29"/>
      <c r="G1" s="55" t="s">
        <v>22</v>
      </c>
      <c r="H1" s="57"/>
      <c r="I1" s="56"/>
    </row>
    <row r="2" spans="1:9" ht="29" x14ac:dyDescent="0.2">
      <c r="A2" s="30" t="s">
        <v>23</v>
      </c>
      <c r="B2" s="31">
        <v>27725000</v>
      </c>
      <c r="C2" s="32"/>
      <c r="D2" s="33" t="s">
        <v>24</v>
      </c>
      <c r="E2" s="34">
        <v>3.56E-2</v>
      </c>
      <c r="F2" s="32"/>
      <c r="G2" s="35" t="s">
        <v>25</v>
      </c>
      <c r="H2" s="36">
        <f>B3</f>
        <v>576750000</v>
      </c>
      <c r="I2" s="37">
        <f>H2/H4</f>
        <v>3.53687889984209E-2</v>
      </c>
    </row>
    <row r="3" spans="1:9" ht="17" x14ac:dyDescent="0.2">
      <c r="A3" s="38" t="s">
        <v>25</v>
      </c>
      <c r="B3" s="31">
        <v>576750000</v>
      </c>
      <c r="C3" s="32"/>
      <c r="D3" s="39" t="s">
        <v>26</v>
      </c>
      <c r="E3" s="48">
        <v>0.7</v>
      </c>
      <c r="F3" s="32"/>
      <c r="G3" s="35" t="s">
        <v>27</v>
      </c>
      <c r="H3" s="36">
        <v>15730000000</v>
      </c>
      <c r="I3" s="37">
        <f>H3/H4</f>
        <v>0.96463121100157911</v>
      </c>
    </row>
    <row r="4" spans="1:9" ht="17" x14ac:dyDescent="0.2">
      <c r="A4" s="38" t="s">
        <v>20</v>
      </c>
      <c r="B4" s="40">
        <f>B2/B3</f>
        <v>4.8071087993064587E-2</v>
      </c>
      <c r="C4" s="32"/>
      <c r="D4" s="33" t="s">
        <v>28</v>
      </c>
      <c r="E4" s="52">
        <f>5.78%+E2</f>
        <v>9.3400000000000011E-2</v>
      </c>
      <c r="F4" s="32"/>
      <c r="G4" s="41" t="s">
        <v>29</v>
      </c>
      <c r="H4" s="42">
        <f>H2+H3</f>
        <v>16306750000</v>
      </c>
      <c r="I4" s="43"/>
    </row>
    <row r="5" spans="1:9" ht="29" x14ac:dyDescent="0.2">
      <c r="A5" s="38" t="s">
        <v>30</v>
      </c>
      <c r="B5" s="31">
        <v>103926000</v>
      </c>
      <c r="C5" s="32"/>
      <c r="D5" s="44" t="s">
        <v>21</v>
      </c>
      <c r="E5" s="45">
        <f>(E2)+(E3)*(E4-E2)</f>
        <v>7.6060000000000003E-2</v>
      </c>
      <c r="F5" s="53" t="s">
        <v>35</v>
      </c>
      <c r="G5" s="32"/>
      <c r="H5" s="32"/>
      <c r="I5" s="32"/>
    </row>
    <row r="6" spans="1:9" ht="29" x14ac:dyDescent="0.2">
      <c r="A6" s="38" t="s">
        <v>31</v>
      </c>
      <c r="B6" s="31">
        <v>2574925000</v>
      </c>
      <c r="C6" s="32"/>
      <c r="D6" s="32"/>
      <c r="E6" s="32"/>
      <c r="F6" s="32"/>
      <c r="G6" s="32"/>
      <c r="H6" s="32"/>
      <c r="I6" s="32"/>
    </row>
    <row r="7" spans="1:9" ht="17" x14ac:dyDescent="0.2">
      <c r="A7" s="38" t="s">
        <v>32</v>
      </c>
      <c r="B7" s="40">
        <f>B5/B6</f>
        <v>4.0360787207394389E-2</v>
      </c>
      <c r="C7" s="32"/>
      <c r="D7" s="32"/>
      <c r="E7" s="32"/>
      <c r="F7" s="32"/>
      <c r="G7" s="32"/>
      <c r="H7" s="32"/>
      <c r="I7" s="32"/>
    </row>
    <row r="8" spans="1:9" ht="17" x14ac:dyDescent="0.2">
      <c r="A8" s="46" t="s">
        <v>33</v>
      </c>
      <c r="B8" s="45">
        <f>B4*(1-B7)</f>
        <v>4.6130901039748581E-2</v>
      </c>
      <c r="C8" s="32"/>
      <c r="D8" s="47" t="s">
        <v>34</v>
      </c>
      <c r="E8" s="27">
        <f>(B4*I2)+(E5*I3)</f>
        <v>7.5070066076931327E-2</v>
      </c>
      <c r="F8" s="32"/>
      <c r="G8" s="32"/>
      <c r="H8" s="32"/>
      <c r="I8" s="32"/>
    </row>
  </sheetData>
  <mergeCells count="3">
    <mergeCell ref="A1:B1"/>
    <mergeCell ref="D1:E1"/>
    <mergeCell ref="G1:I1"/>
  </mergeCells>
  <hyperlinks>
    <hyperlink ref="D4" r:id="rId1" xr:uid="{EF157C7B-4F00-7A4C-A472-745E717D42A1}"/>
    <hyperlink ref="D2" r:id="rId2" display="Risk Free Rate" xr:uid="{5A3C5961-4DA7-3C4C-9782-493A39675431}"/>
    <hyperlink ref="F5" r:id="rId3" xr:uid="{31AAC5C9-DB8F-A04F-A339-3837C15908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BF02-E183-9448-BDA7-FE90486D4F20}">
  <dimension ref="A1:G18"/>
  <sheetViews>
    <sheetView zoomScale="185" workbookViewId="0">
      <selection activeCell="D14" sqref="D14"/>
    </sheetView>
  </sheetViews>
  <sheetFormatPr baseColWidth="10" defaultRowHeight="16" x14ac:dyDescent="0.2"/>
  <sheetData>
    <row r="1" spans="1:7" ht="19" x14ac:dyDescent="0.25">
      <c r="A1" s="67" t="s">
        <v>38</v>
      </c>
      <c r="B1" s="67"/>
      <c r="C1" s="67"/>
      <c r="D1" s="67"/>
      <c r="E1" s="67"/>
      <c r="F1" s="67"/>
      <c r="G1" s="58"/>
    </row>
    <row r="2" spans="1:7" x14ac:dyDescent="0.2">
      <c r="A2" s="60"/>
      <c r="B2" s="61">
        <v>6.5100000000000005E-2</v>
      </c>
      <c r="C2" s="61">
        <f>B2+0.5%</f>
        <v>7.010000000000001E-2</v>
      </c>
      <c r="D2" s="61">
        <f t="shared" ref="D2:E2" si="0">C2+0.5%</f>
        <v>7.5100000000000014E-2</v>
      </c>
      <c r="E2" s="61">
        <f t="shared" si="0"/>
        <v>8.0100000000000018E-2</v>
      </c>
      <c r="F2" s="61">
        <f>E2+0.5%</f>
        <v>8.5100000000000023E-2</v>
      </c>
      <c r="G2" s="59" t="s">
        <v>39</v>
      </c>
    </row>
    <row r="3" spans="1:7" x14ac:dyDescent="0.2">
      <c r="A3" s="76">
        <v>2.5000000000000001E-2</v>
      </c>
      <c r="B3" s="62">
        <v>11.774165535212783</v>
      </c>
      <c r="C3" s="62">
        <v>10.571430344623469</v>
      </c>
      <c r="D3" s="62">
        <v>9.6104560420730571</v>
      </c>
      <c r="E3" s="63">
        <v>8.8252953810861943</v>
      </c>
      <c r="F3" s="64">
        <v>8.1719562584140206</v>
      </c>
      <c r="G3" s="58"/>
    </row>
    <row r="4" spans="1:7" x14ac:dyDescent="0.2">
      <c r="A4" s="76">
        <f>A3+0.5%</f>
        <v>3.0000000000000002E-2</v>
      </c>
      <c r="B4" s="62">
        <v>12.87872640486516</v>
      </c>
      <c r="C4" s="62">
        <v>11.395595812801627</v>
      </c>
      <c r="D4" s="62">
        <v>10.243014374002186</v>
      </c>
      <c r="E4" s="63">
        <v>9.3218757943863775</v>
      </c>
      <c r="F4" s="64">
        <v>8.5690569677506296</v>
      </c>
      <c r="G4" s="58"/>
    </row>
    <row r="5" spans="1:7" x14ac:dyDescent="0.2">
      <c r="A5" s="76">
        <f t="shared" ref="A5:A7" si="1">A4+0.5%</f>
        <v>3.5000000000000003E-2</v>
      </c>
      <c r="B5" s="62">
        <v>14.350251018588093</v>
      </c>
      <c r="C5" s="64">
        <v>12.454566257668718</v>
      </c>
      <c r="D5" s="77">
        <v>11.033317925863768</v>
      </c>
      <c r="E5" s="63">
        <v>9.9285627294826106</v>
      </c>
      <c r="F5" s="64">
        <v>9.0454192957173021</v>
      </c>
      <c r="G5" s="58"/>
    </row>
    <row r="6" spans="1:7" x14ac:dyDescent="0.2">
      <c r="A6" s="76">
        <f t="shared" si="1"/>
        <v>0.04</v>
      </c>
      <c r="B6" s="65">
        <v>16.408040418654824</v>
      </c>
      <c r="C6" s="62">
        <v>13.865354126079696</v>
      </c>
      <c r="D6" s="62">
        <v>12.048779184808422</v>
      </c>
      <c r="E6" s="63">
        <v>10.686543164602844</v>
      </c>
      <c r="F6" s="64">
        <v>9.627405199729802</v>
      </c>
      <c r="G6" s="58"/>
    </row>
    <row r="7" spans="1:7" x14ac:dyDescent="0.2">
      <c r="A7" s="76">
        <f t="shared" si="1"/>
        <v>4.4999999999999998E-2</v>
      </c>
      <c r="B7" s="62">
        <v>19.489605639650275</v>
      </c>
      <c r="C7" s="62">
        <v>15.838208874335679</v>
      </c>
      <c r="D7" s="62">
        <v>13.401602988252957</v>
      </c>
      <c r="E7" s="63">
        <v>11.660472441637671</v>
      </c>
      <c r="F7" s="64">
        <v>10.354524745640676</v>
      </c>
      <c r="G7" s="58"/>
    </row>
    <row r="8" spans="1:7" x14ac:dyDescent="0.2">
      <c r="A8" s="66" t="s">
        <v>40</v>
      </c>
      <c r="B8" s="58"/>
      <c r="C8" s="58"/>
      <c r="D8" s="58"/>
      <c r="E8" s="58"/>
      <c r="F8" s="58"/>
      <c r="G8" s="58"/>
    </row>
    <row r="9" spans="1:7" x14ac:dyDescent="0.2">
      <c r="A9" s="58"/>
      <c r="B9" s="58"/>
      <c r="C9" s="58"/>
      <c r="D9" s="58"/>
      <c r="E9" s="58"/>
      <c r="F9" s="58"/>
      <c r="G9" s="58"/>
    </row>
    <row r="10" spans="1:7" ht="19" x14ac:dyDescent="0.25">
      <c r="A10" s="75"/>
      <c r="B10" s="75"/>
      <c r="C10" s="75"/>
      <c r="D10" s="75"/>
      <c r="E10" s="75"/>
      <c r="F10" s="75"/>
      <c r="G10" s="68"/>
    </row>
    <row r="11" spans="1:7" x14ac:dyDescent="0.2">
      <c r="A11" s="69"/>
      <c r="B11" s="70"/>
      <c r="C11" s="70"/>
      <c r="D11" s="70"/>
      <c r="E11" s="70"/>
      <c r="F11" s="70"/>
      <c r="G11" s="71"/>
    </row>
    <row r="12" spans="1:7" x14ac:dyDescent="0.2">
      <c r="A12" s="72"/>
      <c r="B12" s="73"/>
      <c r="C12" s="73"/>
      <c r="D12" s="73"/>
      <c r="E12" s="73"/>
      <c r="F12" s="73"/>
      <c r="G12" s="68"/>
    </row>
    <row r="13" spans="1:7" x14ac:dyDescent="0.2">
      <c r="A13" s="72"/>
      <c r="B13" s="73"/>
      <c r="C13" s="73"/>
      <c r="D13" s="73"/>
      <c r="E13" s="73"/>
      <c r="F13" s="73"/>
      <c r="G13" s="68"/>
    </row>
    <row r="14" spans="1:7" x14ac:dyDescent="0.2">
      <c r="A14" s="72"/>
      <c r="B14" s="68"/>
      <c r="C14" s="73"/>
      <c r="D14" s="73"/>
      <c r="E14" s="73"/>
      <c r="F14" s="73"/>
      <c r="G14" s="68"/>
    </row>
    <row r="15" spans="1:7" x14ac:dyDescent="0.2">
      <c r="A15" s="72"/>
      <c r="B15" s="73"/>
      <c r="C15" s="73"/>
      <c r="D15" s="73"/>
      <c r="E15" s="73"/>
      <c r="F15" s="73"/>
      <c r="G15" s="68"/>
    </row>
    <row r="16" spans="1:7" x14ac:dyDescent="0.2">
      <c r="A16" s="72"/>
      <c r="B16" s="73"/>
      <c r="C16" s="73"/>
      <c r="D16" s="73"/>
      <c r="E16" s="73"/>
      <c r="F16" s="73"/>
      <c r="G16" s="68"/>
    </row>
    <row r="17" spans="1:7" x14ac:dyDescent="0.2">
      <c r="A17" s="72"/>
      <c r="B17" s="68"/>
      <c r="C17" s="68"/>
      <c r="D17" s="68"/>
      <c r="E17" s="68"/>
      <c r="F17" s="68"/>
      <c r="G17" s="68"/>
    </row>
    <row r="18" spans="1:7" x14ac:dyDescent="0.2">
      <c r="A18" s="74"/>
      <c r="B18" s="68"/>
      <c r="C18" s="68"/>
      <c r="D18" s="68"/>
      <c r="E18" s="68"/>
      <c r="F18" s="68"/>
      <c r="G18" s="68"/>
    </row>
  </sheetData>
  <mergeCells count="1">
    <mergeCell ref="A1:F1"/>
  </mergeCells>
  <conditionalFormatting sqref="B3:F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23A4-1D53-EB4C-B408-0C7910C98E38}">
  <dimension ref="A1"/>
  <sheetViews>
    <sheetView showGridLines="0" tabSelected="1" topLeftCell="A47" workbookViewId="0">
      <selection activeCell="N51" sqref="N5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</vt:lpstr>
      <vt:lpstr>wacc</vt:lpstr>
      <vt:lpstr>sensitivity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Chan</dc:creator>
  <cp:lastModifiedBy>GLADYS CHAN HAVEN</cp:lastModifiedBy>
  <dcterms:created xsi:type="dcterms:W3CDTF">2026-04-25T10:30:41Z</dcterms:created>
  <dcterms:modified xsi:type="dcterms:W3CDTF">2026-04-26T04:57:04Z</dcterms:modified>
</cp:coreProperties>
</file>